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stitution Profile" sheetId="2" state="visible" r:id="rId2"/>
    <sheet xmlns:r="http://schemas.openxmlformats.org/officeDocument/2006/relationships" name="Agent ROI" sheetId="3" state="visible" r:id="rId3"/>
    <sheet xmlns:r="http://schemas.openxmlformats.org/officeDocument/2006/relationships" name="AWS TCO" sheetId="4" state="visible" r:id="rId4"/>
    <sheet xmlns:r="http://schemas.openxmlformats.org/officeDocument/2006/relationships" name="Summary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#,##0.0"/>
    <numFmt numFmtId="166" formatCode="&quot;$&quot;#,##0"/>
    <numFmt numFmtId="167" formatCode="&quot;$&quot;#,##0.0000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10"/>
    </font>
    <font>
      <b val="1"/>
      <color rgb="00000000"/>
      <sz val="12"/>
    </font>
    <font>
      <color rgb="00000000"/>
      <sz val="11"/>
    </font>
    <font>
      <b val="1"/>
      <color rgb="00000000"/>
      <sz val="11"/>
    </font>
    <font>
      <i val="1"/>
      <color rgb="00595959"/>
      <sz val="9"/>
    </font>
    <font>
      <b val="1"/>
      <color rgb="00FFFFFF"/>
      <sz val="11"/>
    </font>
    <font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F2D9"/>
      </patternFill>
    </fill>
    <fill>
      <patternFill patternType="solid">
        <fgColor rgb="00D9E8F5"/>
      </patternFill>
    </fill>
    <fill>
      <patternFill patternType="solid">
        <fgColor rgb="00FFE8CC"/>
      </patternFill>
    </fill>
    <fill>
      <patternFill patternType="solid">
        <fgColor rgb="00FFD96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1" pivotButton="0" quotePrefix="0" xfId="0"/>
    <xf numFmtId="0" fontId="4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left" vertical="center"/>
    </xf>
    <xf numFmtId="9" fontId="4" fillId="3" borderId="1" applyAlignment="1" pivotButton="0" quotePrefix="0" xfId="0">
      <alignment horizontal="left" vertical="center"/>
    </xf>
    <xf numFmtId="9" fontId="4" fillId="5" borderId="1" applyAlignment="1" pivotButton="0" quotePrefix="0" xfId="0">
      <alignment horizontal="left" vertical="center"/>
    </xf>
    <xf numFmtId="165" fontId="8" fillId="4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left" vertical="center"/>
    </xf>
    <xf numFmtId="167" fontId="4" fillId="5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6" fontId="4" fillId="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9" fontId="8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Investment vs. Value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Dashboard'!C26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Dashboard'!$B$27:$B$28</f>
            </numRef>
          </cat>
          <val>
            <numRef>
              <f>'Summary Dashboard'!$C$27:$C$28</f>
            </numRef>
          </val>
        </ser>
        <ser>
          <idx val="1"/>
          <order val="1"/>
          <tx>
            <strRef>
              <f>'Summary Dashboard'!D26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Dashboard'!$B$27:$B$28</f>
            </numRef>
          </cat>
          <val>
            <numRef>
              <f>'Summary Dashboard'!$D$27:$D$28</f>
            </numRef>
          </val>
        </ser>
        <ser>
          <idx val="2"/>
          <order val="2"/>
          <tx>
            <strRef>
              <f>'Summary Dashboard'!E26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Dashboard'!$B$27:$B$28</f>
            </numRef>
          </cat>
          <val>
            <numRef>
              <f>'Summary Dashboard'!$E$27:$E$28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31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0" customWidth="1" min="3" max="3"/>
  </cols>
  <sheetData>
    <row r="1" ht="32" customHeight="1">
      <c r="B1" s="1" t="inlineStr">
        <is>
          <t>EDU AI Agent Suite — ROI / TCO Calculator</t>
        </is>
      </c>
    </row>
    <row r="2">
      <c r="B2" s="2" t="inlineStr">
        <is>
          <t>For use in customer conversations. All inputs are editable — the numbers are yours.</t>
        </is>
      </c>
    </row>
    <row r="4" ht="18" customHeight="1">
      <c r="B4" s="3" t="inlineStr">
        <is>
          <t>HOW TO USE THIS CALCULATOR</t>
        </is>
      </c>
    </row>
    <row r="5" ht="40" customHeight="1">
      <c r="B5" s="4" t="inlineStr">
        <is>
          <t>1.  Start on the 'Institution Profile' tab. Enter your institution's basic profile — enrollment, staffing, current volumes, and costs. These drive the calculations on every other sheet.</t>
        </is>
      </c>
    </row>
    <row r="6" ht="40" customHeight="1">
      <c r="B6" s="4" t="inlineStr">
        <is>
          <t>2.  Go to 'Agent ROI'. Toggle each agent on or off (Y/N). Adjust the volume inputs and deflection-rate assumptions for each agent you plan to deploy. The labor savings and value calculations update automatically.</t>
        </is>
      </c>
    </row>
    <row r="7" ht="40" customHeight="1">
      <c r="B7" s="4" t="inlineStr">
        <is>
          <t>3.  Review 'AWS TCO'. Enter estimated monthly interaction volumes for each service tier. The sheet models Bedrock inference (Claude Sonnet and Haiku), AgentCore, DynamoDB, S3, Lambda, and supporting services.</t>
        </is>
      </c>
    </row>
    <row r="8" ht="40" customHeight="1">
      <c r="B8" s="4" t="inlineStr">
        <is>
          <t>4.  The 'Summary Dashboard' consolidates everything: total investment, total annual value, net benefit, ROI %, payback period, and a 3-year NPV. The bar chart shows cost vs. value by year.</t>
        </is>
      </c>
    </row>
    <row r="10" ht="18" customHeight="1">
      <c r="B10" s="3" t="inlineStr">
        <is>
          <t>COLOR LEGEND</t>
        </is>
      </c>
    </row>
    <row r="11">
      <c r="B11" s="5" t="inlineStr">
        <is>
          <t>Green cells</t>
        </is>
      </c>
      <c r="C11" s="6" t="inlineStr">
        <is>
          <t>Input cells — enter your institution's numbers here</t>
        </is>
      </c>
    </row>
    <row r="12">
      <c r="B12" s="7" t="inlineStr">
        <is>
          <t>Blue cells</t>
        </is>
      </c>
      <c r="C12" s="6" t="inlineStr">
        <is>
          <t>Calculated cells — formula-driven; do not edit</t>
        </is>
      </c>
    </row>
    <row r="13">
      <c r="B13" s="8" t="inlineStr">
        <is>
          <t>Orange cells</t>
        </is>
      </c>
      <c r="C13" s="6" t="inlineStr">
        <is>
          <t>Assumption cells — pre-filled with reference data; adjust as needed</t>
        </is>
      </c>
    </row>
    <row r="14">
      <c r="B14" s="9" t="inlineStr">
        <is>
          <t>Yellow cells</t>
        </is>
      </c>
      <c r="C14" s="6" t="inlineStr">
        <is>
          <t>Section headers</t>
        </is>
      </c>
    </row>
    <row r="16" ht="60" customHeight="1">
      <c r="B16" s="10" t="inlineStr">
        <is>
          <t>DISCLAIMER: All numbers in this calculator are illustrative. Actual outcomes depend on institution size, workflow volume, model selection, deployment configuration, and measured results from a properly baselined pilot. Reference outcomes (UA-Pulaski Tech, Highline College, Illinois Tech) are cited as peer benchmarks, not guarantees.</t>
        </is>
      </c>
    </row>
  </sheetData>
  <mergeCells count="9">
    <mergeCell ref="B6:C6"/>
    <mergeCell ref="B2:C2"/>
    <mergeCell ref="B16:C16"/>
    <mergeCell ref="B7:C7"/>
    <mergeCell ref="B5:C5"/>
    <mergeCell ref="B10:C10"/>
    <mergeCell ref="B1:C1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20" customWidth="1" min="3" max="3"/>
    <col width="20" customWidth="1" min="4" max="4"/>
  </cols>
  <sheetData>
    <row r="1" ht="22" customHeight="1">
      <c r="A1" s="11" t="inlineStr"/>
      <c r="B1" s="11" t="inlineStr">
        <is>
          <t>Institution Profile</t>
        </is>
      </c>
      <c r="C1" s="11" t="inlineStr">
        <is>
          <t>Your Value</t>
        </is>
      </c>
      <c r="D1" s="11" t="inlineStr">
        <is>
          <t>Notes</t>
        </is>
      </c>
    </row>
    <row r="2">
      <c r="A2" s="12" t="inlineStr">
        <is>
          <t>INSTITUTION TYPE</t>
        </is>
      </c>
    </row>
    <row r="3">
      <c r="B3" s="13" t="inlineStr">
        <is>
          <t>Institution type</t>
        </is>
      </c>
      <c r="C3" s="14" t="inlineStr">
        <is>
          <t>Community College</t>
        </is>
      </c>
    </row>
    <row r="4">
      <c r="B4" s="13" t="inlineStr">
        <is>
          <t>Institution name (optional)</t>
        </is>
      </c>
      <c r="C4" s="14" t="inlineStr">
        <is>
          <t>[Your Institution]</t>
        </is>
      </c>
    </row>
    <row r="6">
      <c r="A6" s="12" t="inlineStr">
        <is>
          <t>STUDENT ENROLLMENT</t>
        </is>
      </c>
    </row>
    <row r="7">
      <c r="B7" s="13" t="inlineStr">
        <is>
          <t>Total student enrollment (headcount)</t>
        </is>
      </c>
      <c r="C7" s="15" t="n">
        <v>5000</v>
      </c>
    </row>
    <row r="8">
      <c r="B8" s="16" t="inlineStr">
        <is>
          <t xml:space="preserve">  — of which: under 18 (K-12 or dual-enroll)</t>
        </is>
      </c>
      <c r="C8" s="15" t="n">
        <v>500</v>
      </c>
    </row>
    <row r="9">
      <c r="B9" s="13" t="inlineStr">
        <is>
          <t>Peak enrollment inquiry volume (monthly)</t>
        </is>
      </c>
      <c r="C9" s="15" t="n">
        <v>2000</v>
      </c>
    </row>
    <row r="10">
      <c r="B10" s="16" t="inlineStr">
        <is>
          <t>FAFSA / financial aid inquiries (monthly)</t>
        </is>
      </c>
      <c r="C10" s="15" t="n">
        <v>800</v>
      </c>
    </row>
    <row r="12">
      <c r="A12" s="12" t="inlineStr">
        <is>
          <t>STAFFING AND COST</t>
        </is>
      </c>
    </row>
    <row r="13">
      <c r="B13" s="13" t="inlineStr">
        <is>
          <t>Total admin / student services FTE</t>
        </is>
      </c>
      <c r="C13" s="15" t="n">
        <v>12</v>
      </c>
    </row>
    <row r="14">
      <c r="B14" s="16" t="inlineStr">
        <is>
          <t>Total advising / counseling FTE</t>
        </is>
      </c>
      <c r="C14" s="15" t="n">
        <v>8</v>
      </c>
    </row>
    <row r="15">
      <c r="B15" s="13" t="inlineStr">
        <is>
          <t>Total IT / operations FTE</t>
        </is>
      </c>
      <c r="C15" s="15" t="n">
        <v>6</v>
      </c>
    </row>
    <row r="16">
      <c r="B16" s="16" t="inlineStr">
        <is>
          <t>Total faculty FTE</t>
        </is>
      </c>
      <c r="C16" s="15" t="n">
        <v>150</v>
      </c>
    </row>
    <row r="17">
      <c r="B17" s="13" t="inlineStr">
        <is>
          <t>Avg fully-loaded staff cost ($/hour)</t>
        </is>
      </c>
      <c r="C17" s="17" t="n">
        <v>45</v>
      </c>
    </row>
    <row r="18">
      <c r="B18" s="16" t="inlineStr">
        <is>
          <t>Avg fully-loaded faculty cost ($/hour)</t>
        </is>
      </c>
      <c r="C18" s="17" t="n">
        <v>65</v>
      </c>
    </row>
    <row r="20">
      <c r="A20" s="12" t="inlineStr">
        <is>
          <t>CURRENT WORKFLOW BASELINES</t>
        </is>
      </c>
    </row>
    <row r="21">
      <c r="B21" s="13" t="inlineStr">
        <is>
          <t>Routine inquiry handling time (minutes/inquiry)</t>
        </is>
      </c>
      <c r="C21" s="18" t="n">
        <v>8</v>
      </c>
    </row>
    <row r="22">
      <c r="B22" s="16" t="inlineStr">
        <is>
          <t>Document processing cycle time (days, current)</t>
        </is>
      </c>
      <c r="C22" s="15" t="n">
        <v>14</v>
      </c>
    </row>
    <row r="23">
      <c r="B23" s="13" t="inlineStr">
        <is>
          <t>Students per advisor (current caseload)</t>
        </is>
      </c>
      <c r="C23" s="15" t="n">
        <v>250</v>
      </c>
    </row>
    <row r="24">
      <c r="B24" s="16" t="inlineStr">
        <is>
          <t>IT ticket mean time to resolve (hours)</t>
        </is>
      </c>
      <c r="C24" s="18" t="n">
        <v>18</v>
      </c>
    </row>
    <row r="25">
      <c r="B25" s="13" t="inlineStr">
        <is>
          <t>Grading hours per assignment (avg, faculty)</t>
        </is>
      </c>
      <c r="C25" s="19" t="n">
        <v>0.5</v>
      </c>
    </row>
    <row r="26">
      <c r="B26" s="16" t="inlineStr">
        <is>
          <t>% of inquiries received after business hours</t>
        </is>
      </c>
      <c r="C26" s="20" t="n">
        <v>0.3</v>
      </c>
    </row>
    <row r="28" ht="45" customHeight="1">
      <c r="B28" s="10" t="inlineStr">
        <is>
          <t>NOTE: These baseline numbers drive the ROI calculations on the 'Agent ROI' sheet. Capture your actual baseline data before the pilot — the pilot outcome is measured against these numbers.</t>
        </is>
      </c>
    </row>
  </sheetData>
  <mergeCells count="5">
    <mergeCell ref="B28:D28"/>
    <mergeCell ref="A6:D6"/>
    <mergeCell ref="A12:D12"/>
    <mergeCell ref="A20:D20"/>
    <mergeCell ref="A2:D2"/>
  </mergeCells>
  <dataValidations count="1">
    <dataValidation sqref="C3" showDropDown="0" showInputMessage="0" showErrorMessage="0" allowBlank="0" type="list">
      <formula1>"K-12 District,Community College,University,Online Program,Workforce Education"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1" ht="22" customHeight="1">
      <c r="A1" s="11" t="inlineStr"/>
      <c r="B1" s="11" t="inlineStr">
        <is>
          <t>Agent</t>
        </is>
      </c>
      <c r="C1" s="11" t="inlineStr">
        <is>
          <t>Deploy?</t>
        </is>
      </c>
      <c r="D1" s="11" t="inlineStr">
        <is>
          <t>Monthly Volume</t>
        </is>
      </c>
      <c r="E1" s="11" t="inlineStr">
        <is>
          <t>Deflection Rate</t>
        </is>
      </c>
      <c r="F1" s="11" t="inlineStr">
        <is>
          <t>Hours Saved/Mo</t>
        </is>
      </c>
      <c r="G1" s="11" t="inlineStr">
        <is>
          <t>Value/Month ($)</t>
        </is>
      </c>
      <c r="H1" s="11" t="inlineStr">
        <is>
          <t>One-Time Build ($)</t>
        </is>
      </c>
    </row>
    <row r="2">
      <c r="B2" s="16" t="inlineStr">
        <is>
          <t>Agent 01 — Student &amp; Family Services Concierge</t>
        </is>
      </c>
      <c r="C2" s="14" t="inlineStr">
        <is>
          <t>Y</t>
        </is>
      </c>
      <c r="D2" s="15" t="n">
        <v>2000</v>
      </c>
      <c r="E2" s="21" t="n">
        <v>0.65</v>
      </c>
      <c r="F2" s="22">
        <f>IF(C2="Y", D2*E2*('Institution Profile'!C21/60), 0)</f>
        <v/>
      </c>
      <c r="G2" s="23">
        <f>IF(C2="Y", F2*'Institution Profile'!C17, 0)</f>
        <v/>
      </c>
      <c r="H2" s="24" t="n">
        <v>95000</v>
      </c>
    </row>
    <row r="3">
      <c r="B3" s="13" t="inlineStr">
        <is>
          <t>Agent 02 — Personalized Tutor &amp; Study Companion</t>
        </is>
      </c>
      <c r="C3" s="14" t="inlineStr">
        <is>
          <t>Y</t>
        </is>
      </c>
      <c r="D3" s="15" t="n">
        <v>500</v>
      </c>
      <c r="E3" s="21" t="n">
        <v>0.55</v>
      </c>
      <c r="F3" s="22">
        <f>IF(C3="Y", D3*E3*('Institution Profile'!C21/60), 0)</f>
        <v/>
      </c>
      <c r="G3" s="23">
        <f>IF(C3="Y", F3*'Institution Profile'!C17, 0)</f>
        <v/>
      </c>
      <c r="H3" s="24" t="n">
        <v>75000</v>
      </c>
    </row>
    <row r="4">
      <c r="B4" s="16" t="inlineStr">
        <is>
          <t>Agent 03 — Educator Copilot</t>
        </is>
      </c>
      <c r="C4" s="14" t="inlineStr">
        <is>
          <t>Y</t>
        </is>
      </c>
      <c r="D4" s="15" t="n">
        <v>300</v>
      </c>
      <c r="E4" s="21" t="n">
        <v>0.6</v>
      </c>
      <c r="F4" s="22">
        <f>IF(C4="Y", D4*E4*('Institution Profile'!C21/60), 0)</f>
        <v/>
      </c>
      <c r="G4" s="23">
        <f>IF(C4="Y", F4*'Institution Profile'!C17, 0)</f>
        <v/>
      </c>
      <c r="H4" s="24" t="n">
        <v>70000</v>
      </c>
    </row>
    <row r="5">
      <c r="B5" s="13" t="inlineStr">
        <is>
          <t>Agent 04 — Assessment, Grading &amp; Feedback</t>
        </is>
      </c>
      <c r="C5" s="14" t="inlineStr">
        <is>
          <t>Y</t>
        </is>
      </c>
      <c r="D5" s="15" t="n">
        <v>200</v>
      </c>
      <c r="E5" s="21" t="n">
        <v>0.5</v>
      </c>
      <c r="F5" s="22">
        <f>IF(C5="Y", D5*E5*('Institution Profile'!C21/60), 0)</f>
        <v/>
      </c>
      <c r="G5" s="23">
        <f>IF(C5="Y", F5*'Institution Profile'!C17, 0)</f>
        <v/>
      </c>
      <c r="H5" s="24" t="n">
        <v>65000</v>
      </c>
    </row>
    <row r="6">
      <c r="B6" s="16" t="inlineStr">
        <is>
          <t>Agent 05 — Student Success &amp; Proactive Engagement</t>
        </is>
      </c>
      <c r="C6" s="14" t="inlineStr">
        <is>
          <t>Y</t>
        </is>
      </c>
      <c r="D6" s="15" t="n">
        <v>400</v>
      </c>
      <c r="E6" s="21" t="n">
        <v>0.45</v>
      </c>
      <c r="F6" s="22">
        <f>IF(C6="Y", D6*E6*('Institution Profile'!C21/60), 0)</f>
        <v/>
      </c>
      <c r="G6" s="23">
        <f>IF(C6="Y", F6*'Institution Profile'!C17, 0)</f>
        <v/>
      </c>
      <c r="H6" s="24" t="n">
        <v>80000</v>
      </c>
    </row>
    <row r="7">
      <c r="B7" s="13" t="inlineStr">
        <is>
          <t>Agent 06 — Pathway Navigator</t>
        </is>
      </c>
      <c r="C7" s="14" t="inlineStr">
        <is>
          <t>Y</t>
        </is>
      </c>
      <c r="D7" s="15" t="n">
        <v>350</v>
      </c>
      <c r="E7" s="21" t="n">
        <v>0.5</v>
      </c>
      <c r="F7" s="22">
        <f>IF(C7="Y", D7*E7*('Institution Profile'!C21/60), 0)</f>
        <v/>
      </c>
      <c r="G7" s="23">
        <f>IF(C7="Y", F7*'Institution Profile'!C17, 0)</f>
        <v/>
      </c>
      <c r="H7" s="24" t="n">
        <v>70000</v>
      </c>
    </row>
    <row r="8">
      <c r="B8" s="16" t="inlineStr">
        <is>
          <t>Agent 07 — Document &amp; Accessibility Services</t>
        </is>
      </c>
      <c r="C8" s="14" t="inlineStr">
        <is>
          <t>Y</t>
        </is>
      </c>
      <c r="D8" s="15" t="n">
        <v>600</v>
      </c>
      <c r="E8" s="21" t="n">
        <v>0.7</v>
      </c>
      <c r="F8" s="22">
        <f>IF(C8="Y", D8*E8*('Institution Profile'!C21/60), 0)</f>
        <v/>
      </c>
      <c r="G8" s="23">
        <f>IF(C8="Y", F8*'Institution Profile'!C17, 0)</f>
        <v/>
      </c>
      <c r="H8" s="24" t="n">
        <v>75000</v>
      </c>
    </row>
    <row r="9">
      <c r="B9" s="13" t="inlineStr">
        <is>
          <t>Agent 08 — Operations Service Desk</t>
        </is>
      </c>
      <c r="C9" s="14" t="inlineStr">
        <is>
          <t>Y</t>
        </is>
      </c>
      <c r="D9" s="15" t="n">
        <v>1200</v>
      </c>
      <c r="E9" s="21" t="n">
        <v>0.65</v>
      </c>
      <c r="F9" s="22">
        <f>IF(C9="Y", D9*E9*('Institution Profile'!C21/60), 0)</f>
        <v/>
      </c>
      <c r="G9" s="23">
        <f>IF(C9="Y", F9*'Institution Profile'!C17, 0)</f>
        <v/>
      </c>
      <c r="H9" s="24" t="n">
        <v>60000</v>
      </c>
    </row>
    <row r="11">
      <c r="A11" s="12" t="inlineStr">
        <is>
          <t>TOTALS</t>
        </is>
      </c>
    </row>
    <row r="12">
      <c r="B12" s="25" t="inlineStr">
        <is>
          <t>Total hours saved / month (all active agents)</t>
        </is>
      </c>
      <c r="F12" s="22">
        <f>SUM(F2:F10)</f>
        <v/>
      </c>
      <c r="G12" s="23">
        <f>SUM(G2:G10)</f>
        <v/>
      </c>
      <c r="H12" s="23">
        <f>SUM(H2:H10)</f>
        <v/>
      </c>
    </row>
    <row r="13">
      <c r="B13" s="25" t="inlineStr">
        <is>
          <t>Total annual value (labor savings)</t>
        </is>
      </c>
      <c r="G13" s="23">
        <f>G12*12</f>
        <v/>
      </c>
    </row>
    <row r="14">
      <c r="B14" s="25" t="inlineStr">
        <is>
          <t>Total one-time build investment</t>
        </is>
      </c>
      <c r="H14" s="23">
        <f>H12</f>
        <v/>
      </c>
    </row>
    <row r="16" ht="50" customHeight="1">
      <c r="B16" s="10" t="inlineStr">
        <is>
          <t>NOTE — Build-once economics: The MCP gateway, identity, audit trail, and HITL framework are built once on the first agent. Agents 2–8 inherit them — the one-time build cost above reflects this amortization. The 'One-Time Build' for Agent 01 is the heaviest; subsequent agents are primarily connector + agent-specific logic.</t>
        </is>
      </c>
    </row>
  </sheetData>
  <mergeCells count="2">
    <mergeCell ref="B16:H16"/>
    <mergeCell ref="A11:H11"/>
  </mergeCells>
  <dataValidations count="8">
    <dataValidation sqref="C2" showDropDown="0" showInputMessage="0" showErrorMessage="0" allowBlank="0" type="list">
      <formula1>"Y,N"</formula1>
    </dataValidation>
    <dataValidation sqref="C3" showDropDown="0" showInputMessage="0" showErrorMessage="0" allowBlank="0" type="list">
      <formula1>"Y,N"</formula1>
    </dataValidation>
    <dataValidation sqref="C4" showDropDown="0" showInputMessage="0" showErrorMessage="0" allowBlank="0" type="list">
      <formula1>"Y,N"</formula1>
    </dataValidation>
    <dataValidation sqref="C5" showDropDown="0" showInputMessage="0" showErrorMessage="0" allowBlank="0" type="list">
      <formula1>"Y,N"</formula1>
    </dataValidation>
    <dataValidation sqref="C6" showDropDown="0" showInputMessage="0" showErrorMessage="0" allowBlank="0" type="list">
      <formula1>"Y,N"</formula1>
    </dataValidation>
    <dataValidation sqref="C7" showDropDown="0" showInputMessage="0" showErrorMessage="0" allowBlank="0" type="list">
      <formula1>"Y,N"</formula1>
    </dataValidation>
    <dataValidation sqref="C8" showDropDown="0" showInputMessage="0" showErrorMessage="0" allowBlank="0" type="list">
      <formula1>"Y,N"</formula1>
    </dataValidation>
    <dataValidation sqref="C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/>
      <c r="B1" s="11" t="inlineStr">
        <is>
          <t>AWS Service / Cost Element</t>
        </is>
      </c>
      <c r="C1" s="11" t="inlineStr">
        <is>
          <t>Unit</t>
        </is>
      </c>
      <c r="D1" s="11" t="inlineStr">
        <is>
          <t>Monthly Volume</t>
        </is>
      </c>
      <c r="E1" s="11" t="inlineStr">
        <is>
          <t>Rate ($/unit)</t>
        </is>
      </c>
      <c r="F1" s="11" t="inlineStr">
        <is>
          <t>Monthly Cost ($)</t>
        </is>
      </c>
    </row>
    <row r="2">
      <c r="A2" s="12" t="inlineStr">
        <is>
          <t>BEDROCK INFERENCE</t>
        </is>
      </c>
    </row>
    <row r="3">
      <c r="B3" s="13" t="inlineStr">
        <is>
          <t>Claude 3.5 Sonnet — input tokens</t>
        </is>
      </c>
      <c r="C3" s="13" t="inlineStr">
        <is>
          <t>per 1K tokens</t>
        </is>
      </c>
      <c r="D3" s="26" t="n">
        <v>5000</v>
      </c>
      <c r="E3" s="27" t="n">
        <v>0.003</v>
      </c>
      <c r="F3" s="28">
        <f>D3*E3</f>
        <v/>
      </c>
    </row>
    <row r="4">
      <c r="B4" s="16" t="inlineStr">
        <is>
          <t>Claude 3.5 Sonnet — output tokens</t>
        </is>
      </c>
      <c r="C4" s="16" t="inlineStr">
        <is>
          <t>per 1K tokens</t>
        </is>
      </c>
      <c r="D4" s="26" t="n">
        <v>2500</v>
      </c>
      <c r="E4" s="27" t="n">
        <v>0.015</v>
      </c>
      <c r="F4" s="28">
        <f>D4*E4</f>
        <v/>
      </c>
    </row>
    <row r="5">
      <c r="B5" s="13" t="inlineStr">
        <is>
          <t>Claude 3 Haiku — input tokens</t>
        </is>
      </c>
      <c r="C5" s="13" t="inlineStr">
        <is>
          <t>per 1K tokens</t>
        </is>
      </c>
      <c r="D5" s="26" t="n">
        <v>10000</v>
      </c>
      <c r="E5" s="27" t="n">
        <v>0.00025</v>
      </c>
      <c r="F5" s="28">
        <f>D5*E5</f>
        <v/>
      </c>
    </row>
    <row r="6">
      <c r="B6" s="16" t="inlineStr">
        <is>
          <t>Claude 3 Haiku — output tokens</t>
        </is>
      </c>
      <c r="C6" s="16" t="inlineStr">
        <is>
          <t>per 1K tokens</t>
        </is>
      </c>
      <c r="D6" s="26" t="n">
        <v>4000</v>
      </c>
      <c r="E6" s="27" t="n">
        <v>0.00125</v>
      </c>
      <c r="F6" s="28">
        <f>D6*E6</f>
        <v/>
      </c>
    </row>
    <row r="7">
      <c r="B7" s="13" t="inlineStr">
        <is>
          <t>Bedrock Knowledge Bases — queries</t>
        </is>
      </c>
      <c r="C7" s="13" t="inlineStr">
        <is>
          <t>per query</t>
        </is>
      </c>
      <c r="D7" s="26" t="n">
        <v>8000</v>
      </c>
      <c r="E7" s="27" t="n">
        <v>4e-06</v>
      </c>
      <c r="F7" s="28">
        <f>D7*E7</f>
        <v/>
      </c>
    </row>
    <row r="8">
      <c r="A8" s="12" t="inlineStr">
        <is>
          <t>AGENTCORE / GATEWAY</t>
        </is>
      </c>
    </row>
    <row r="9">
      <c r="B9" s="13" t="inlineStr">
        <is>
          <t>AgentCore — invocations</t>
        </is>
      </c>
      <c r="C9" s="13" t="inlineStr">
        <is>
          <t>per invocation</t>
        </is>
      </c>
      <c r="D9" s="26" t="n">
        <v>1000000</v>
      </c>
      <c r="E9" s="27" t="n">
        <v>2.5e-06</v>
      </c>
      <c r="F9" s="28">
        <f>D9*E9</f>
        <v/>
      </c>
    </row>
    <row r="10">
      <c r="B10" s="16" t="inlineStr">
        <is>
          <t>AgentCore Identity — tokens minted</t>
        </is>
      </c>
      <c r="C10" s="16" t="inlineStr">
        <is>
          <t>per token</t>
        </is>
      </c>
      <c r="D10" s="26" t="n">
        <v>500000</v>
      </c>
      <c r="E10" s="27" t="n">
        <v>1e-06</v>
      </c>
      <c r="F10" s="28">
        <f>D10*E10</f>
        <v/>
      </c>
    </row>
    <row r="11">
      <c r="B11" s="13" t="inlineStr">
        <is>
          <t>API Gateway (Option B fallback) — requests</t>
        </is>
      </c>
      <c r="C11" s="13" t="inlineStr">
        <is>
          <t>per M requests</t>
        </is>
      </c>
      <c r="D11" s="26" t="n">
        <v>1</v>
      </c>
      <c r="E11" s="27" t="n">
        <v>3.5</v>
      </c>
      <c r="F11" s="28">
        <f>D11*E11</f>
        <v/>
      </c>
    </row>
    <row r="12">
      <c r="B12" s="16" t="inlineStr">
        <is>
          <t>Lambda — GB-seconds</t>
        </is>
      </c>
      <c r="C12" s="16" t="inlineStr">
        <is>
          <t>per GB-sec</t>
        </is>
      </c>
      <c r="D12" s="26" t="n">
        <v>500000</v>
      </c>
      <c r="E12" s="27" t="n">
        <v>1.66e-05</v>
      </c>
      <c r="F12" s="28">
        <f>D12*E12</f>
        <v/>
      </c>
    </row>
    <row r="13">
      <c r="B13" s="13" t="inlineStr">
        <is>
          <t>Step Functions — state transitions</t>
        </is>
      </c>
      <c r="C13" s="13" t="inlineStr">
        <is>
          <t>per 1K transitions</t>
        </is>
      </c>
      <c r="D13" s="26" t="n">
        <v>500</v>
      </c>
      <c r="E13" s="27" t="n">
        <v>0.025</v>
      </c>
      <c r="F13" s="28">
        <f>D13*E13</f>
        <v/>
      </c>
    </row>
    <row r="14">
      <c r="A14" s="12" t="inlineStr">
        <is>
          <t>STORAGE</t>
        </is>
      </c>
    </row>
    <row r="15">
      <c r="B15" s="13" t="inlineStr">
        <is>
          <t>DynamoDB — on-demand reads (RRU)</t>
        </is>
      </c>
      <c r="C15" s="13" t="inlineStr">
        <is>
          <t>per M RRU</t>
        </is>
      </c>
      <c r="D15" s="26" t="n">
        <v>10</v>
      </c>
      <c r="E15" s="27" t="n">
        <v>0.125</v>
      </c>
      <c r="F15" s="28">
        <f>D15*E15</f>
        <v/>
      </c>
    </row>
    <row r="16">
      <c r="B16" s="16" t="inlineStr">
        <is>
          <t>DynamoDB — on-demand writes (WRU)</t>
        </is>
      </c>
      <c r="C16" s="16" t="inlineStr">
        <is>
          <t>per M WRU</t>
        </is>
      </c>
      <c r="D16" s="26" t="n">
        <v>5</v>
      </c>
      <c r="E16" s="27" t="n">
        <v>0.625</v>
      </c>
      <c r="F16" s="28">
        <f>D16*E16</f>
        <v/>
      </c>
    </row>
    <row r="17">
      <c r="B17" s="13" t="inlineStr">
        <is>
          <t>DynamoDB — storage (GB)</t>
        </is>
      </c>
      <c r="C17" s="13" t="inlineStr">
        <is>
          <t>GB/month</t>
        </is>
      </c>
      <c r="D17" s="26" t="n">
        <v>5</v>
      </c>
      <c r="E17" s="27" t="n">
        <v>0.25</v>
      </c>
      <c r="F17" s="28">
        <f>D17*E17</f>
        <v/>
      </c>
    </row>
    <row r="18">
      <c r="B18" s="16" t="inlineStr">
        <is>
          <t>S3 — Standard storage (GB)</t>
        </is>
      </c>
      <c r="C18" s="16" t="inlineStr">
        <is>
          <t>GB/month</t>
        </is>
      </c>
      <c r="D18" s="26" t="n">
        <v>50</v>
      </c>
      <c r="E18" s="27" t="n">
        <v>0.023</v>
      </c>
      <c r="F18" s="28">
        <f>D18*E18</f>
        <v/>
      </c>
    </row>
    <row r="19">
      <c r="B19" s="13" t="inlineStr">
        <is>
          <t>S3 — PUT/COPY/POST requests (per K)</t>
        </is>
      </c>
      <c r="C19" s="13" t="inlineStr">
        <is>
          <t>per K requests</t>
        </is>
      </c>
      <c r="D19" s="26" t="n">
        <v>100</v>
      </c>
      <c r="E19" s="27" t="n">
        <v>0.005</v>
      </c>
      <c r="F19" s="28">
        <f>D19*E19</f>
        <v/>
      </c>
    </row>
    <row r="20">
      <c r="B20" s="16" t="inlineStr">
        <is>
          <t>S3 Object Lock (audit WORM, GB)</t>
        </is>
      </c>
      <c r="C20" s="16" t="inlineStr">
        <is>
          <t>GB/month</t>
        </is>
      </c>
      <c r="D20" s="26" t="n">
        <v>10</v>
      </c>
      <c r="E20" s="27" t="n">
        <v>0.023</v>
      </c>
      <c r="F20" s="28">
        <f>D20*E20</f>
        <v/>
      </c>
    </row>
    <row r="21">
      <c r="A21" s="12" t="inlineStr">
        <is>
          <t>COMPUTE AND NETWORKING</t>
        </is>
      </c>
    </row>
    <row r="22">
      <c r="B22" s="16" t="inlineStr">
        <is>
          <t>ECS Fargate — vCPU-hours/month</t>
        </is>
      </c>
      <c r="C22" s="16" t="inlineStr">
        <is>
          <t>vCPU-hours</t>
        </is>
      </c>
      <c r="D22" s="26" t="n">
        <v>720</v>
      </c>
      <c r="E22" s="27" t="n">
        <v>0.04048</v>
      </c>
      <c r="F22" s="28">
        <f>D22*E22</f>
        <v/>
      </c>
    </row>
    <row r="23">
      <c r="B23" s="13" t="inlineStr">
        <is>
          <t>ECS Fargate — GB memory-hours/month</t>
        </is>
      </c>
      <c r="C23" s="13" t="inlineStr">
        <is>
          <t>GB-hours</t>
        </is>
      </c>
      <c r="D23" s="26" t="n">
        <v>1440</v>
      </c>
      <c r="E23" s="27" t="n">
        <v>0.004445</v>
      </c>
      <c r="F23" s="28">
        <f>D23*E23</f>
        <v/>
      </c>
    </row>
    <row r="24">
      <c r="B24" s="16" t="inlineStr">
        <is>
          <t>Application Load Balancer — LCUs/hr</t>
        </is>
      </c>
      <c r="C24" s="16" t="inlineStr">
        <is>
          <t>LCU-hours</t>
        </is>
      </c>
      <c r="D24" s="26" t="n">
        <v>720</v>
      </c>
      <c r="E24" s="27" t="n">
        <v>0.008</v>
      </c>
      <c r="F24" s="28">
        <f>D24*E24</f>
        <v/>
      </c>
    </row>
    <row r="25">
      <c r="B25" s="13" t="inlineStr">
        <is>
          <t>NAT Gateway — GB processed</t>
        </is>
      </c>
      <c r="C25" s="13" t="inlineStr">
        <is>
          <t>GB</t>
        </is>
      </c>
      <c r="D25" s="26" t="n">
        <v>100</v>
      </c>
      <c r="E25" s="27" t="n">
        <v>0.045</v>
      </c>
      <c r="F25" s="28">
        <f>D25*E25</f>
        <v/>
      </c>
    </row>
    <row r="26">
      <c r="B26" s="16" t="inlineStr">
        <is>
          <t>CloudWatch — custom metrics</t>
        </is>
      </c>
      <c r="C26" s="16" t="inlineStr">
        <is>
          <t>per metric/mo</t>
        </is>
      </c>
      <c r="D26" s="26" t="n">
        <v>20</v>
      </c>
      <c r="E26" s="27" t="n">
        <v>0.3</v>
      </c>
      <c r="F26" s="28">
        <f>D26*E26</f>
        <v/>
      </c>
    </row>
    <row r="27">
      <c r="B27" s="13" t="inlineStr">
        <is>
          <t>CloudWatch — log ingestion (GB)</t>
        </is>
      </c>
      <c r="C27" s="13" t="inlineStr">
        <is>
          <t>GB</t>
        </is>
      </c>
      <c r="D27" s="26" t="n">
        <v>5</v>
      </c>
      <c r="E27" s="27" t="n">
        <v>0.5</v>
      </c>
      <c r="F27" s="28">
        <f>D27*E27</f>
        <v/>
      </c>
    </row>
    <row r="28">
      <c r="A28" s="12" t="inlineStr">
        <is>
          <t>SUPPORTING SERVICES</t>
        </is>
      </c>
    </row>
    <row r="29">
      <c r="B29" s="13" t="inlineStr">
        <is>
          <t>KMS — API requests (per 10K)</t>
        </is>
      </c>
      <c r="C29" s="13" t="inlineStr">
        <is>
          <t>per 10K calls</t>
        </is>
      </c>
      <c r="D29" s="26" t="n">
        <v>100</v>
      </c>
      <c r="E29" s="27" t="n">
        <v>0.03</v>
      </c>
      <c r="F29" s="28">
        <f>D29*E29</f>
        <v/>
      </c>
    </row>
    <row r="30">
      <c r="B30" s="16" t="inlineStr">
        <is>
          <t>Secrets Manager — secrets/month</t>
        </is>
      </c>
      <c r="C30" s="16" t="inlineStr">
        <is>
          <t>per secret</t>
        </is>
      </c>
      <c r="D30" s="26" t="n">
        <v>10</v>
      </c>
      <c r="E30" s="27" t="n">
        <v>0.4</v>
      </c>
      <c r="F30" s="28">
        <f>D30*E30</f>
        <v/>
      </c>
    </row>
    <row r="31">
      <c r="B31" s="13" t="inlineStr">
        <is>
          <t>CloudTrail — events (per 100K)</t>
        </is>
      </c>
      <c r="C31" s="13" t="inlineStr">
        <is>
          <t>per 100K events</t>
        </is>
      </c>
      <c r="D31" s="26" t="n">
        <v>50</v>
      </c>
      <c r="E31" s="27" t="n">
        <v>0.1</v>
      </c>
      <c r="F31" s="28">
        <f>D31*E31</f>
        <v/>
      </c>
    </row>
    <row r="32">
      <c r="B32" s="16" t="inlineStr">
        <is>
          <t>Textract (Agent 07) — pages</t>
        </is>
      </c>
      <c r="C32" s="16" t="inlineStr">
        <is>
          <t>per page</t>
        </is>
      </c>
      <c r="D32" s="26" t="n">
        <v>1000</v>
      </c>
      <c r="E32" s="27" t="n">
        <v>0.0015</v>
      </c>
      <c r="F32" s="28">
        <f>D32*E32</f>
        <v/>
      </c>
    </row>
    <row r="33">
      <c r="B33" s="13" t="inlineStr">
        <is>
          <t>Translate (Agent 07) — per char (M)</t>
        </is>
      </c>
      <c r="C33" s="13" t="inlineStr">
        <is>
          <t>per M chars</t>
        </is>
      </c>
      <c r="D33" s="26" t="n">
        <v>1</v>
      </c>
      <c r="E33" s="27" t="n">
        <v>15</v>
      </c>
      <c r="F33" s="28">
        <f>D33*E33</f>
        <v/>
      </c>
    </row>
    <row r="34">
      <c r="B34" s="16" t="inlineStr">
        <is>
          <t>SES — emails sent</t>
        </is>
      </c>
      <c r="C34" s="16" t="inlineStr">
        <is>
          <t>per 1K emails</t>
        </is>
      </c>
      <c r="D34" s="26" t="n">
        <v>10</v>
      </c>
      <c r="E34" s="27" t="n">
        <v>0.1</v>
      </c>
      <c r="F34" s="28">
        <f>D34*E34</f>
        <v/>
      </c>
    </row>
    <row r="36">
      <c r="A36" s="29" t="inlineStr">
        <is>
          <t>TOTAL MONTHLY AWS COST</t>
        </is>
      </c>
    </row>
    <row r="37">
      <c r="B37" s="25" t="inlineStr">
        <is>
          <t>Total monthly AWS infrastructure cost</t>
        </is>
      </c>
      <c r="F37" s="28">
        <f>SUM(F2:F35)</f>
        <v/>
      </c>
    </row>
    <row r="38">
      <c r="B38" s="25" t="inlineStr">
        <is>
          <t>Total annual AWS infrastructure cost</t>
        </is>
      </c>
      <c r="F38" s="23">
        <f>F37*12</f>
        <v/>
      </c>
    </row>
    <row r="40" ht="60" customHeight="1">
      <c r="B40" s="10" t="inlineStr">
        <is>
          <t>NOTE: Rates above reflect approximate list prices as of mid-2025. Actual rates depend on region, EDP/Reserved pricing, committed use discounts, and AWS pricing changes. Verify current rates at aws.amazon.com/pricing before presenting to a customer. Bedrock inference is typically the largest variable line — model at peak enrollment volume, not steady-state.</t>
        </is>
      </c>
    </row>
  </sheetData>
  <mergeCells count="7">
    <mergeCell ref="A2:F2"/>
    <mergeCell ref="A28:F28"/>
    <mergeCell ref="A36:F36"/>
    <mergeCell ref="A14:F14"/>
    <mergeCell ref="A8:F8"/>
    <mergeCell ref="A21:F21"/>
    <mergeCell ref="B40:F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22" customWidth="1" min="3" max="3"/>
    <col width="22" customWidth="1" min="4" max="4"/>
    <col width="22" customWidth="1" min="5" max="5"/>
  </cols>
  <sheetData>
    <row r="1" ht="32" customHeight="1">
      <c r="B1" s="1" t="inlineStr">
        <is>
          <t>EDU AI Agent Suite — ROI Summary Dashboard</t>
        </is>
      </c>
    </row>
    <row r="3">
      <c r="A3" s="30" t="inlineStr">
        <is>
          <t>INPUTS</t>
        </is>
      </c>
    </row>
    <row r="4">
      <c r="B4" s="13" t="inlineStr">
        <is>
          <t>Discount rate for NPV calculation</t>
        </is>
      </c>
      <c r="C4" s="21" t="n">
        <v>0.08</v>
      </c>
    </row>
    <row r="6">
      <c r="A6" s="12" t="inlineStr">
        <is>
          <t>INVESTMENT SUMMARY</t>
        </is>
      </c>
    </row>
    <row r="7">
      <c r="B7" s="16" t="inlineStr">
        <is>
          <t>Total one-time build investment (all agents)</t>
        </is>
      </c>
      <c r="C7" s="23">
        <f>'Agent ROI'!H19</f>
        <v/>
      </c>
    </row>
    <row r="8">
      <c r="B8" s="13" t="inlineStr">
        <is>
          <t>Annual AWS infrastructure run cost</t>
        </is>
      </c>
      <c r="C8" s="23">
        <f>'AWS TCO'!F47</f>
        <v/>
      </c>
    </row>
    <row r="9">
      <c r="B9" s="16" t="inlineStr">
        <is>
          <t>Annual managed service fee (SI — estimate)</t>
        </is>
      </c>
      <c r="C9" s="31" t="n">
        <v>120000</v>
      </c>
    </row>
    <row r="10">
      <c r="B10" s="13" t="inlineStr">
        <is>
          <t>Total annual run cost (AWS + managed service)</t>
        </is>
      </c>
      <c r="C10" s="23">
        <f>C8+C9</f>
        <v/>
      </c>
    </row>
    <row r="11">
      <c r="B11" s="16" t="inlineStr">
        <is>
          <t>Total 3-year total cost of ownership</t>
        </is>
      </c>
      <c r="C11" s="23">
        <f>C7+C10*3</f>
        <v/>
      </c>
    </row>
    <row r="13">
      <c r="A13" s="12" t="inlineStr">
        <is>
          <t>VALUE SUMMARY</t>
        </is>
      </c>
    </row>
    <row r="14">
      <c r="B14" s="13" t="inlineStr">
        <is>
          <t>Total annual labor savings (all active agents)</t>
        </is>
      </c>
      <c r="C14" s="23">
        <f>'Agent ROI'!G20</f>
        <v/>
      </c>
    </row>
    <row r="15">
      <c r="B15" s="16" t="inlineStr">
        <is>
          <t>Service improvement value (% of labor savings — editable)</t>
        </is>
      </c>
      <c r="C15" s="24" t="n">
        <v>50000</v>
      </c>
    </row>
    <row r="16">
      <c r="B16" s="13" t="inlineStr">
        <is>
          <t>Total annual value (labor + service)</t>
        </is>
      </c>
      <c r="C16" s="23">
        <f>C14+C15</f>
        <v/>
      </c>
    </row>
    <row r="18">
      <c r="A18" s="29" t="inlineStr">
        <is>
          <t>ROI METRICS</t>
        </is>
      </c>
    </row>
    <row r="19">
      <c r="B19" s="32" t="inlineStr">
        <is>
          <t>Net annual benefit (Value − Annual run cost)</t>
        </is>
      </c>
      <c r="C19" s="23">
        <f>C16-C10</f>
        <v/>
      </c>
    </row>
    <row r="20">
      <c r="B20" s="25" t="inlineStr">
        <is>
          <t>First-year ROI %</t>
        </is>
      </c>
      <c r="C20" s="33">
        <f>C16/C7</f>
        <v/>
      </c>
    </row>
    <row r="21">
      <c r="B21" s="32" t="inlineStr">
        <is>
          <t>Steady-state ROI % (year 2+)</t>
        </is>
      </c>
      <c r="C21" s="33">
        <f>C16/C10</f>
        <v/>
      </c>
    </row>
    <row r="22">
      <c r="B22" s="25" t="inlineStr">
        <is>
          <t>Payback period (months)</t>
        </is>
      </c>
      <c r="C22" s="22">
        <f>C7/MAX(C16-C10,1)*12</f>
        <v/>
      </c>
    </row>
    <row r="23">
      <c r="B23" s="32" t="inlineStr">
        <is>
          <t>3-year NPV</t>
        </is>
      </c>
      <c r="C23" s="23">
        <f>C16/(1+C4)^1 + C16/(1+C4)^2 + C16/(1+C4)^3 - C7 - C10/(1+C4)^1 - C10/(1+C4)^2 - C10/(1+C4)^3</f>
        <v/>
      </c>
    </row>
    <row r="25">
      <c r="A25" s="12" t="inlineStr">
        <is>
          <t>3-YEAR VIEW (for chart)</t>
        </is>
      </c>
    </row>
    <row r="26">
      <c r="A26" s="11" t="inlineStr"/>
      <c r="B26" s="11" t="inlineStr">
        <is>
          <t>Category</t>
        </is>
      </c>
      <c r="C26" s="11" t="inlineStr">
        <is>
          <t>Year 1</t>
        </is>
      </c>
      <c r="D26" s="11" t="inlineStr">
        <is>
          <t>Year 2</t>
        </is>
      </c>
      <c r="E26" s="11" t="inlineStr">
        <is>
          <t>Year 3</t>
        </is>
      </c>
    </row>
    <row r="27">
      <c r="B27" s="16" t="inlineStr">
        <is>
          <t>Total Investment (build + run)</t>
        </is>
      </c>
      <c r="C27" s="23">
        <f>C7+C10</f>
        <v/>
      </c>
      <c r="D27" s="23">
        <f>C10</f>
        <v/>
      </c>
      <c r="E27" s="23">
        <f>C10</f>
        <v/>
      </c>
    </row>
    <row r="28">
      <c r="B28" s="13" t="inlineStr">
        <is>
          <t>Total Value (labor + service)</t>
        </is>
      </c>
      <c r="C28" s="23">
        <f>C16</f>
        <v/>
      </c>
      <c r="D28" s="23">
        <f>C16</f>
        <v/>
      </c>
      <c r="E28" s="23">
        <f>C16</f>
        <v/>
      </c>
    </row>
    <row r="29">
      <c r="B29" s="16" t="inlineStr">
        <is>
          <t>Net Benefit</t>
        </is>
      </c>
      <c r="C29" s="23">
        <f>C28-C27</f>
        <v/>
      </c>
      <c r="D29" s="23">
        <f>D28-D27</f>
        <v/>
      </c>
      <c r="E29" s="23">
        <f>E28-E27</f>
        <v/>
      </c>
    </row>
    <row r="30">
      <c r="B30" s="13" t="inlineStr">
        <is>
          <t>Cumulative Net Benefit</t>
        </is>
      </c>
      <c r="C30" s="23">
        <f>C29</f>
        <v/>
      </c>
      <c r="D30" s="23">
        <f>C29+D29</f>
        <v/>
      </c>
      <c r="E30" s="23">
        <f>C29+D29+E29</f>
        <v/>
      </c>
    </row>
  </sheetData>
  <mergeCells count="6">
    <mergeCell ref="A18:D18"/>
    <mergeCell ref="B1:E1"/>
    <mergeCell ref="A6:D6"/>
    <mergeCell ref="A3:D3"/>
    <mergeCell ref="A25:D25"/>
    <mergeCell ref="A13:D1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2026-06-18T13:36:56Z</dcterms:created>
  <dcterms:modified xmlns:dcterms="http://purl.org/dc/terms/" xmlns:xsi="http://www.w3.org/2001/XMLSchema-instance" xsi:type="dcterms:W3CDTF">2026-06-18T13:36:56Z</dcterms:modified>
</cp:coreProperties>
</file>